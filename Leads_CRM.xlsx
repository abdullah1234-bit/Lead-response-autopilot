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Dashboard" sheetId="2" state="visible" r:id="rId4"/>
    <sheet name="Guide" sheetId="3" state="visible" r:id="rId5"/>
  </sheets>
  <definedNames>
    <definedName function="false" hidden="true" localSheetId="0" name="_xlnm._FilterDatabase" vbProcedure="false">Leads!$A$1:$J$3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<sst xmlns="http://schemas.openxmlformats.org/spreadsheetml/2006/main" count="51" uniqueCount="47">
  <si>
    <t xml:space="preserve">Timestamp</t>
  </si>
  <si>
    <t xml:space="preserve">Name</t>
  </si>
  <si>
    <t xml:space="preserve">Email</t>
  </si>
  <si>
    <t xml:space="preserve">Phone</t>
  </si>
  <si>
    <t xml:space="preserve">Message</t>
  </si>
  <si>
    <t xml:space="preserve">Score</t>
  </si>
  <si>
    <t xml:space="preserve">Category</t>
  </si>
  <si>
    <t xml:space="preserve">Summary</t>
  </si>
  <si>
    <t xml:space="preserve">Reply Sent</t>
  </si>
  <si>
    <t xml:space="preserve">Status</t>
  </si>
  <si>
    <t xml:space="preserve">2026-06-15 10:32</t>
  </si>
  <si>
    <t xml:space="preserve">Jane Doe</t>
  </si>
  <si>
    <t xml:space="preserve">jane@email.com</t>
  </si>
  <si>
    <t xml:space="preserve">+1 555 0100</t>
  </si>
  <si>
    <t xml:space="preserve">I need pricing to automate my Shopify store ASAP</t>
  </si>
  <si>
    <t xml:space="preserve">Hot</t>
  </si>
  <si>
    <t xml:space="preserve">Pricing enquiry</t>
  </si>
  <si>
    <t xml:space="preserve">Ready-to-buy lead wanting a store-automation quote</t>
  </si>
  <si>
    <t xml:space="preserve">Hi Jane, thanks for reaching out about automating your Shopify store...</t>
  </si>
  <si>
    <t xml:space="preserve">New</t>
  </si>
  <si>
    <t xml:space="preserve">2026-06-15 09:10</t>
  </si>
  <si>
    <t xml:space="preserve">Bob Lee</t>
  </si>
  <si>
    <t xml:space="preserve">bob@email.com</t>
  </si>
  <si>
    <t xml:space="preserve">just looking around</t>
  </si>
  <si>
    <t xml:space="preserve">Cold</t>
  </si>
  <si>
    <t xml:space="preserve">General</t>
  </si>
  <si>
    <t xml:space="preserve">Low-intent browser, no specific ask</t>
  </si>
  <si>
    <t xml:space="preserve">Leads Dashboard</t>
  </si>
  <si>
    <t xml:space="preserve">By Score</t>
  </si>
  <si>
    <t xml:space="preserve">Total Leads</t>
  </si>
  <si>
    <t xml:space="preserve">Warm</t>
  </si>
  <si>
    <t xml:space="preserve">By Status</t>
  </si>
  <si>
    <t xml:space="preserve">Contacted</t>
  </si>
  <si>
    <t xml:space="preserve">Qualified</t>
  </si>
  <si>
    <t xml:space="preserve">Won</t>
  </si>
  <si>
    <t xml:space="preserve">Lost</t>
  </si>
  <si>
    <t xml:space="preserve">How to use this Lead CRM</t>
  </si>
  <si>
    <t xml:space="preserve">1. Upload this file to Google Drive, then open it with Google Sheets (or File &gt; Import &gt; Upload). It converts to a normal Google Sheet.</t>
  </si>
  <si>
    <t xml:space="preserve">2. In n8n, the workflow will append each new lead as a row on the 'Leads' tab automatically.</t>
  </si>
  <si>
    <t xml:space="preserve">3. The Dashboard tab counts your leads by score and status on its own.</t>
  </si>
  <si>
    <t xml:space="preserve">Column meanings:</t>
  </si>
  <si>
    <t xml:space="preserve">Timestamp / Name / Email / Phone / Message - captured from the lead's form submission.</t>
  </si>
  <si>
    <t xml:space="preserve">Score / Category / Summary - written by the AI when it reads the enquiry.</t>
  </si>
  <si>
    <t xml:space="preserve">Reply Sent - the personalized reply the AI auto-sent to the lead.</t>
  </si>
  <si>
    <t xml:space="preserve">Status - YOU update this manually (dropdown): New, Contacted, Qualified, Won, Lost.</t>
  </si>
  <si>
    <t xml:space="preserve">Score colors: Hot = red, Warm = amber, Cold = grey. Sort the Score column to put Hot leads on top.</t>
  </si>
  <si>
    <t xml:space="preserve">Note: the two example rows on the Leads tab are just samples - delete them before you go live.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</si>
</sst>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E3A5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color rgb="FF1E3A5F"/>
      <name val="Arial"/>
      <family val="0"/>
      <charset val="1"/>
    </font>
    <font>
      <sz val="11"/>
      <color rgb="FF222222"/>
      <name val="Arial"/>
      <family val="0"/>
      <charset val="1"/>
    </font>
    <font>
      <b val="true"/>
      <sz val="12"/>
      <color rgb="FF1E3A5F"/>
      <name val="Arial"/>
      <family val="0"/>
      <charset val="1"/>
    </font>
    <font>
      <b val="true"/>
      <sz val="11"/>
      <color rgb="FF1E3A5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C0392B"/>
        <bgColor rgb="FF993366"/>
      </patternFill>
    </fill>
    <fill>
      <patternFill patternType="solid">
        <fgColor rgb="FFC8911E"/>
        <bgColor rgb="FFFF6600"/>
      </patternFill>
    </fill>
    <fill>
      <patternFill patternType="solid">
        <fgColor rgb="FF7F8C8D"/>
        <bgColor rgb="FF969696"/>
      </patternFill>
    </fill>
    <fill>
      <patternFill patternType="solid">
        <fgColor rgb="FF2E5AAC"/>
        <bgColor rgb="FF3366FF"/>
      </patternFill>
    </fill>
    <fill>
      <patternFill patternType="solid">
        <fgColor rgb="FF1E8449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E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5E9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555F6B"/>
          <bgColor rgb="FF000000"/>
        </patternFill>
      </fill>
    </dxf>
    <dxf>
      <fill>
        <patternFill patternType="solid">
          <fgColor rgb="FF8A1C1C"/>
          <bgColor rgb="FF000000"/>
        </patternFill>
      </fill>
    </dxf>
    <dxf>
      <font>
        <name val="Arial"/>
        <charset val="1"/>
        <family val="0"/>
        <b val="1"/>
        <color rgb="FF8A1C1C"/>
        <sz val="10"/>
      </font>
      <fill>
        <patternFill>
          <bgColor rgb="FFF4C7C3"/>
        </patternFill>
      </fill>
    </dxf>
    <dxf>
      <font>
        <name val="Arial"/>
        <charset val="1"/>
        <family val="0"/>
        <b val="1"/>
        <color rgb="FF7A5B00"/>
        <sz val="10"/>
      </font>
      <fill>
        <patternFill>
          <bgColor rgb="FFFCE8B2"/>
        </patternFill>
      </fill>
    </dxf>
    <dxf>
      <font>
        <name val="Arial"/>
        <charset val="1"/>
        <family val="0"/>
        <color rgb="FF555F6B"/>
        <sz val="10"/>
      </font>
      <fill>
        <patternFill>
          <bgColor rgb="FFE2E5E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B00"/>
      <rgbColor rgb="FF800080"/>
      <rgbColor rgb="FF008080"/>
      <rgbColor rgb="FFC0C0C0"/>
      <rgbColor rgb="FF7F8C8D"/>
      <rgbColor rgb="FF9999FF"/>
      <rgbColor rgb="FFC0392B"/>
      <rgbColor rgb="FFFFFFCC"/>
      <rgbColor rgb="FFE2E5E9"/>
      <rgbColor rgb="FF660066"/>
      <rgbColor rgb="FFFF8080"/>
      <rgbColor rgb="FF2E5AA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B2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C8911E"/>
      <rgbColor rgb="FFFF6600"/>
      <rgbColor rgb="FF555F6B"/>
      <rgbColor rgb="FF969696"/>
      <rgbColor rgb="FF1E3A5F"/>
      <rgbColor rgb="FF1E8449"/>
      <rgbColor rgb="FF003300"/>
      <rgbColor rgb="FF333300"/>
      <rgbColor rgb="FF8A1C1C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4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36"/>
    <col collapsed="false" customWidth="true" hidden="false" outlineLevel="0" max="9" min="9" style="0" width="46"/>
    <col collapsed="false" customWidth="true" hidden="false" outlineLevel="0" max="10" min="10" style="0" width="13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s">
        <v>22</v>
      </c>
      <c r="D3" s="2"/>
      <c r="E3" s="2" t="s">
        <v>23</v>
      </c>
      <c r="F3" s="2" t="s">
        <v>24</v>
      </c>
      <c r="G3" s="2" t="s">
        <v>25</v>
      </c>
      <c r="H3" s="2" t="s">
        <v>26</v>
      </c>
      <c r="I3" s="2"/>
      <c r="J3" s="2" t="s">
        <v>19</v>
      </c>
    </row>
  </sheetData>
  <autoFilter ref="A1:J3"/>
  <conditionalFormatting sqref="F2:F2000">
    <cfRule type="cellIs" priority="2" operator="equal" aboveAverage="0" equalAverage="0" bottom="0" percent="0" rank="0" text="" dxfId="7">
      <formula>"Hot"</formula>
    </cfRule>
    <cfRule type="cellIs" priority="3" operator="equal" aboveAverage="0" equalAverage="0" bottom="0" percent="0" rank="0" text="" dxfId="8">
      <formula>"Warm"</formula>
    </cfRule>
    <cfRule type="cellIs" priority="4" operator="equal" aboveAverage="0" equalAverage="0" bottom="0" percent="0" rank="0" text="" dxfId="9">
      <formula>"Cold"</formula>
    </cfRule>
  </conditionalFormatting>
  <dataValidations count="1">
    <dataValidation allowBlank="true" errorStyle="stop" operator="between" showDropDown="false" showErrorMessage="false" showInputMessage="false" sqref="J2:J1003" type="list">
      <formula1>"New,Contacted,Qualified,Won,Lost"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12"/>
  </cols>
  <sheetData>
    <row r="2" customFormat="false" ht="19.7" hidden="false" customHeight="false" outlineLevel="0" collapsed="false">
      <c r="B2" s="3" t="s">
        <v>27</v>
      </c>
    </row>
    <row r="4" customFormat="false" ht="15" hidden="false" customHeight="false" outlineLevel="0" collapsed="false">
      <c r="B4" s="4" t="s">
        <v>28</v>
      </c>
    </row>
    <row r="5" customFormat="false" ht="17.35" hidden="false" customHeight="false" outlineLevel="0" collapsed="false">
      <c r="B5" s="5" t="s">
        <v>29</v>
      </c>
      <c r="C5" s="6" t="n">
        <f aca="false">COUNTA(Leads!B2:B100000)</f>
        <v>2</v>
      </c>
    </row>
    <row r="6" customFormat="false" ht="17.35" hidden="false" customHeight="false" outlineLevel="0" collapsed="false">
      <c r="B6" s="7" t="s">
        <v>15</v>
      </c>
      <c r="C6" s="6" t="n">
        <f aca="false">COUNTIF(Leads!F:F,"Hot")</f>
        <v>1</v>
      </c>
    </row>
    <row r="7" customFormat="false" ht="17.35" hidden="false" customHeight="false" outlineLevel="0" collapsed="false">
      <c r="B7" s="8" t="s">
        <v>30</v>
      </c>
      <c r="C7" s="6" t="n">
        <f aca="false">COUNTIF(Leads!F:F,"Warm")</f>
        <v>0</v>
      </c>
    </row>
    <row r="8" customFormat="false" ht="17.35" hidden="false" customHeight="false" outlineLevel="0" collapsed="false">
      <c r="B8" s="9" t="s">
        <v>24</v>
      </c>
      <c r="C8" s="6" t="n">
        <f aca="false">COUNTIF(Leads!F:F,"Cold")</f>
        <v>1</v>
      </c>
    </row>
    <row r="10" customFormat="false" ht="15" hidden="false" customHeight="false" outlineLevel="0" collapsed="false">
      <c r="B10" s="4" t="s">
        <v>31</v>
      </c>
    </row>
    <row r="11" customFormat="false" ht="17.35" hidden="false" customHeight="false" outlineLevel="0" collapsed="false">
      <c r="B11" s="10" t="s">
        <v>19</v>
      </c>
      <c r="C11" s="6" t="n">
        <f aca="false">COUNTIF(Leads!J:J,"New")</f>
        <v>2</v>
      </c>
    </row>
    <row r="12" customFormat="false" ht="17.35" hidden="false" customHeight="false" outlineLevel="0" collapsed="false">
      <c r="B12" s="10" t="s">
        <v>32</v>
      </c>
      <c r="C12" s="6" t="n">
        <f aca="false">COUNTIF(Leads!J:J,"Contacted")</f>
        <v>0</v>
      </c>
    </row>
    <row r="13" customFormat="false" ht="17.35" hidden="false" customHeight="false" outlineLevel="0" collapsed="false">
      <c r="B13" s="10" t="s">
        <v>33</v>
      </c>
      <c r="C13" s="6" t="n">
        <f aca="false">COUNTIF(Leads!J:J,"Qualified")</f>
        <v>0</v>
      </c>
    </row>
    <row r="14" customFormat="false" ht="17.35" hidden="false" customHeight="false" outlineLevel="0" collapsed="false">
      <c r="B14" s="11" t="s">
        <v>34</v>
      </c>
      <c r="C14" s="6" t="n">
        <f aca="false">COUNTIF(Leads!J:J,"Won")</f>
        <v>0</v>
      </c>
    </row>
    <row r="15" customFormat="false" ht="17.35" hidden="false" customHeight="false" outlineLevel="0" collapsed="false">
      <c r="B15" s="9" t="s">
        <v>35</v>
      </c>
      <c r="C15" s="6" t="n">
        <f aca="false">COUNTIF(Leads!J:J,"Lost")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0"/>
  </cols>
  <sheetData>
    <row r="2" customFormat="false" ht="17.35" hidden="false" customHeight="false" outlineLevel="0" collapsed="false">
      <c r="B2" s="12" t="s">
        <v>36</v>
      </c>
    </row>
    <row r="3" customFormat="false" ht="15" hidden="false" customHeight="false" outlineLevel="0" collapsed="false">
      <c r="B3" s="13"/>
    </row>
    <row r="4" customFormat="false" ht="26.85" hidden="false" customHeight="false" outlineLevel="0" collapsed="false">
      <c r="B4" s="13" t="s">
        <v>37</v>
      </c>
    </row>
    <row r="5" customFormat="false" ht="15" hidden="false" customHeight="false" outlineLevel="0" collapsed="false">
      <c r="B5" s="13" t="s">
        <v>38</v>
      </c>
    </row>
    <row r="6" customFormat="false" ht="15" hidden="false" customHeight="false" outlineLevel="0" collapsed="false">
      <c r="B6" s="13" t="s">
        <v>39</v>
      </c>
    </row>
    <row r="7" customFormat="false" ht="15" hidden="false" customHeight="false" outlineLevel="0" collapsed="false">
      <c r="B7" s="13"/>
    </row>
    <row r="8" customFormat="false" ht="15" hidden="false" customHeight="false" outlineLevel="0" collapsed="false">
      <c r="B8" s="14" t="s">
        <v>40</v>
      </c>
    </row>
    <row r="9" customFormat="false" ht="15" hidden="false" customHeight="false" outlineLevel="0" collapsed="false">
      <c r="B9" s="13" t="s">
        <v>41</v>
      </c>
    </row>
    <row r="10" customFormat="false" ht="15" hidden="false" customHeight="false" outlineLevel="0" collapsed="false">
      <c r="B10" s="13" t="s">
        <v>42</v>
      </c>
    </row>
    <row r="11" customFormat="false" ht="15" hidden="false" customHeight="false" outlineLevel="0" collapsed="false">
      <c r="B11" s="13" t="s">
        <v>43</v>
      </c>
    </row>
    <row r="12" customFormat="false" ht="15" hidden="false" customHeight="false" outlineLevel="0" collapsed="false">
      <c r="B12" s="13" t="s">
        <v>44</v>
      </c>
    </row>
    <row r="13" customFormat="false" ht="15" hidden="false" customHeight="false" outlineLevel="0" collapsed="false">
      <c r="B13" s="13"/>
    </row>
    <row r="14" customFormat="false" ht="26.85" hidden="false" customHeight="false" outlineLevel="0" collapsed="false">
      <c r="B14" s="13" t="s">
        <v>45</v>
      </c>
    </row>
    <row r="15" customFormat="false" ht="15" hidden="false" customHeight="false" outlineLevel="0" collapsed="false">
      <c r="B15" s="13"/>
    </row>
    <row r="16" customFormat="false" ht="26.85" hidden="false" customHeight="false" outlineLevel="0" collapsed="false">
      <c r="B16" s="1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2026-06-15T11:42:50Z</dcterms:created>
  <dc:creator>openpyxl</dc:creator>
  <dc:description/>
  <dc:language>en-US</dc:language>
  <cp:lastModifiedBy/>
  <dcterms:modified xsi:type="dcterms:W3CDTF">2026-06-15T11:42:50Z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